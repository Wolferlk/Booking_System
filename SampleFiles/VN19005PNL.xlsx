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10"/>
  <workbookPr/>
  <mc:AlternateContent xmlns:mc="http://schemas.openxmlformats.org/markup-compatibility/2006">
    <mc:Choice Requires="x15">
      <x15ac:absPath xmlns:x15ac="http://schemas.microsoft.com/office/spreadsheetml/2010/11/ac" url="C:\Users\INDM-24\Documents\MMT COSTING SHEETS ES\"/>
    </mc:Choice>
  </mc:AlternateContent>
  <xr:revisionPtr revIDLastSave="2" documentId="11_F5EBDA8C9CCDB19B1AAFFDF9B2E27B3842EADBC4" xr6:coauthVersionLast="47" xr6:coauthVersionMax="47" xr10:uidLastSave="{55655449-6A84-4596-A35C-FDBC63566B56}"/>
  <bookViews>
    <workbookView xWindow="0" yWindow="0" windowWidth="20490" windowHeight="8790" xr2:uid="{00000000-000D-0000-FFFF-FFFF00000000}"/>
  </bookViews>
  <sheets>
    <sheet name="V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I14" i="1"/>
  <c r="I3" i="1" l="1"/>
  <c r="I7" i="1" l="1"/>
  <c r="I6" i="1" l="1"/>
  <c r="I11" i="1"/>
  <c r="I10" i="1" l="1"/>
  <c r="I9" i="1" l="1"/>
  <c r="I8" i="1" l="1"/>
  <c r="I5" i="1"/>
  <c r="I4" i="1"/>
  <c r="C30" i="1" l="1"/>
  <c r="E29" i="1"/>
  <c r="E30" i="1" s="1"/>
  <c r="D29" i="1"/>
  <c r="D30" i="1" s="1"/>
  <c r="G29" i="1"/>
  <c r="G30" i="1" s="1"/>
  <c r="H29" i="1"/>
  <c r="H30" i="1" s="1"/>
  <c r="I25" i="1"/>
  <c r="I28" i="1"/>
  <c r="I23" i="1"/>
  <c r="I20" i="1"/>
  <c r="I21" i="1"/>
  <c r="I12" i="1"/>
  <c r="I16" i="1"/>
  <c r="I22" i="1"/>
  <c r="I26" i="1"/>
  <c r="I27" i="1"/>
  <c r="I18" i="1"/>
  <c r="I19" i="1"/>
  <c r="I17" i="1"/>
  <c r="I24" i="1"/>
  <c r="I15" i="1"/>
  <c r="F29" i="1"/>
  <c r="F30" i="1" s="1"/>
  <c r="I30" i="1" l="1"/>
  <c r="J30" i="1" s="1"/>
</calcChain>
</file>

<file path=xl/sharedStrings.xml><?xml version="1.0" encoding="utf-8"?>
<sst xmlns="http://schemas.openxmlformats.org/spreadsheetml/2006/main" count="24" uniqueCount="24">
  <si>
    <t>NO</t>
  </si>
  <si>
    <t>Activity name &amp; Hotel name</t>
  </si>
  <si>
    <t xml:space="preserve">MMT Rate </t>
  </si>
  <si>
    <t>Apple SIC Rate</t>
  </si>
  <si>
    <t>PVT Rate PP</t>
  </si>
  <si>
    <t>AD Entrance</t>
  </si>
  <si>
    <t xml:space="preserve">Other </t>
  </si>
  <si>
    <t xml:space="preserve">CH entrnce </t>
  </si>
  <si>
    <t>Total APPLE Rate</t>
  </si>
  <si>
    <t>Num of AD</t>
  </si>
  <si>
    <t>Num of CH</t>
  </si>
  <si>
    <t>VN19005</t>
  </si>
  <si>
    <t>Ho Chi Minh city airport to Ho Chi Minh Hotel on private basis</t>
  </si>
  <si>
    <t>Hanoi Airport to Hanoi Hotel Transfer on private basis</t>
  </si>
  <si>
    <t>Ho Chi Minh city Hotel to Ho Chi Minh Airport on private basis</t>
  </si>
  <si>
    <t>Da Nang Airport to Da Nang Hotel Transfer on private basis</t>
  </si>
  <si>
    <t>Full-Day Shared Trip on 5-Star Ha Long Cruise with Local Lunch</t>
  </si>
  <si>
    <t>Two-Way Private Transfers for Pub Crawl</t>
  </si>
  <si>
    <t>Fansipan Trip from Sapa - With Cable Car + Muong Hoa Train tickets</t>
  </si>
  <si>
    <t>Walking Tours of Old Quarter &amp; Train Street Walking Tour (Morning/Afternoon)</t>
  </si>
  <si>
    <t>Da Nang Hotel to Da Nang Airport Transfer on private basis</t>
  </si>
  <si>
    <t>Ba Na by Night Ticket in Sun World Ba Na Hills</t>
  </si>
  <si>
    <t xml:space="preserve">Cab service for Halong bay tour 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</si>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</sst>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USD]\ * #,##0.00_);_([$USD]\ * \(#,##0.00\);_([$USD]\ * &quot;-&quot;??_);_(@_)"/>
    <numFmt numFmtId="165" formatCode="&quot;$&quot;#,##0.00"/>
  </numFmts>
  <fonts count="7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1"/>
      <name val="Calibri"/>
      <family val="2"/>
    </font>
    <font>
      <b/>
      <sz val="10"/>
      <color rgb="FFE14F13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8DB3E2"/>
        <bgColor rgb="FF8DB3E2"/>
      </patternFill>
    </fill>
    <fill>
      <patternFill patternType="solid">
        <fgColor rgb="FFF2F2F2"/>
        <bgColor rgb="FFF2F2F2"/>
      </patternFill>
    </fill>
    <fill>
      <patternFill patternType="solid">
        <fgColor rgb="FFFBD4B4"/>
        <bgColor rgb="FFFBD4B4"/>
      </patternFill>
    </fill>
    <fill>
      <patternFill patternType="solid">
        <fgColor rgb="FFC6D9F0"/>
        <bgColor rgb="FFC6D9F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center"/>
    </xf>
    <xf numFmtId="0" fontId="4" fillId="0" borderId="1" xfId="0" applyFont="1" applyBorder="1"/>
    <xf numFmtId="164" fontId="1" fillId="0" borderId="1" xfId="0" applyNumberFormat="1" applyFont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165" fontId="1" fillId="7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165" fontId="1" fillId="2" borderId="1" xfId="0" applyNumberFormat="1" applyFont="1" applyFill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/>
    <xf numFmtId="0" fontId="3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4"/>
  <sheetViews>
    <sheetView tabSelected="1" zoomScale="85" zoomScaleNormal="85" workbookViewId="0">
      <pane ySplit="1" topLeftCell="A2" activePane="bottomLeft" state="frozen"/>
      <selection pane="bottomLeft" activeCell="B7" sqref="B7"/>
    </sheetView>
  </sheetViews>
  <sheetFormatPr defaultColWidth="14.375" defaultRowHeight="15" customHeight="1" outlineLevelCol="1"/>
  <cols>
    <col min="1" max="1" width="5.25" style="1" customWidth="1"/>
    <col min="2" max="2" width="121.875" style="1" customWidth="1"/>
    <col min="3" max="3" width="17.75" style="1" customWidth="1"/>
    <col min="4" max="4" width="15.75" style="1" customWidth="1" outlineLevel="1"/>
    <col min="5" max="5" width="17.25" style="1" customWidth="1" outlineLevel="1"/>
    <col min="6" max="6" width="16.75" style="1" customWidth="1" outlineLevel="1"/>
    <col min="7" max="7" width="14.75" style="1" customWidth="1" outlineLevel="1"/>
    <col min="8" max="8" width="17.375" style="1" customWidth="1" outlineLevel="1"/>
    <col min="9" max="9" width="18" style="1" customWidth="1"/>
    <col min="10" max="10" width="13.625" style="1" customWidth="1"/>
    <col min="11" max="11" width="13.25" style="1" customWidth="1"/>
    <col min="12" max="26" width="8.75" style="1" customWidth="1"/>
    <col min="27" max="16384" width="14.375" style="1"/>
  </cols>
  <sheetData>
    <row r="1" spans="1:26" ht="15.75" customHeight="1">
      <c r="A1" s="2" t="s">
        <v>0</v>
      </c>
      <c r="B1" s="3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3" t="s">
        <v>8</v>
      </c>
      <c r="J1" s="3" t="s">
        <v>9</v>
      </c>
      <c r="K1" s="3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5"/>
      <c r="B2" s="18" t="s">
        <v>11</v>
      </c>
      <c r="C2" s="20"/>
      <c r="D2" s="21"/>
      <c r="E2" s="22"/>
      <c r="F2" s="22"/>
      <c r="G2" s="22"/>
      <c r="H2" s="22"/>
      <c r="I2" s="5"/>
      <c r="J2" s="6">
        <v>2</v>
      </c>
      <c r="K2" s="6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>
      <c r="A3" s="6"/>
      <c r="B3" s="19" t="s">
        <v>12</v>
      </c>
      <c r="C3" s="7">
        <v>22</v>
      </c>
      <c r="D3" s="7"/>
      <c r="E3" s="7">
        <v>8.5</v>
      </c>
      <c r="F3" s="8"/>
      <c r="G3" s="7"/>
      <c r="H3" s="7"/>
      <c r="I3" s="10">
        <f t="shared" ref="I3:I12" si="0">(D3+E3+G3)*($J$2+$K$2)+(H3*$K$2)+(F3*$J$2)</f>
        <v>17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4" customHeight="1">
      <c r="A4" s="6"/>
      <c r="B4" s="19" t="s">
        <v>13</v>
      </c>
      <c r="C4" s="7">
        <v>16</v>
      </c>
      <c r="D4" s="7"/>
      <c r="E4" s="7">
        <v>6</v>
      </c>
      <c r="F4" s="8"/>
      <c r="G4" s="7"/>
      <c r="H4" s="7"/>
      <c r="I4" s="10">
        <f t="shared" si="0"/>
        <v>12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>
      <c r="A5" s="6"/>
      <c r="B5" s="15" t="s">
        <v>14</v>
      </c>
      <c r="C5" s="7">
        <v>22</v>
      </c>
      <c r="D5" s="7"/>
      <c r="E5" s="7">
        <v>8.5</v>
      </c>
      <c r="F5" s="8"/>
      <c r="G5" s="7"/>
      <c r="H5" s="7"/>
      <c r="I5" s="10">
        <f t="shared" si="0"/>
        <v>17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>
      <c r="A6" s="6"/>
      <c r="B6" s="15" t="s">
        <v>15</v>
      </c>
      <c r="C6" s="7">
        <v>20</v>
      </c>
      <c r="D6" s="7"/>
      <c r="E6" s="7">
        <v>4.8</v>
      </c>
      <c r="F6" s="8"/>
      <c r="G6" s="7"/>
      <c r="H6" s="7"/>
      <c r="I6" s="10">
        <f t="shared" ref="I6:I11" si="1">(D6+E6+G6)*($J$2+$K$2)+(H6*$K$2)+(F6*$J$2)</f>
        <v>9.6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6.5" customHeight="1">
      <c r="A7" s="6"/>
      <c r="B7" s="15" t="s">
        <v>16</v>
      </c>
      <c r="C7" s="7">
        <v>160</v>
      </c>
      <c r="D7" s="7">
        <v>70</v>
      </c>
      <c r="E7" s="7"/>
      <c r="F7" s="8"/>
      <c r="G7" s="7"/>
      <c r="H7" s="7"/>
      <c r="I7" s="10">
        <f t="shared" si="1"/>
        <v>140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>
      <c r="A8" s="6"/>
      <c r="B8" s="15" t="s">
        <v>17</v>
      </c>
      <c r="C8" s="7">
        <v>32</v>
      </c>
      <c r="D8" s="7"/>
      <c r="E8" s="7">
        <v>13.15</v>
      </c>
      <c r="F8" s="8"/>
      <c r="G8" s="7"/>
      <c r="H8" s="7"/>
      <c r="I8" s="10">
        <f t="shared" si="1"/>
        <v>26.3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>
      <c r="A9" s="6"/>
      <c r="B9" s="15" t="s">
        <v>18</v>
      </c>
      <c r="C9" s="7">
        <v>126</v>
      </c>
      <c r="D9" s="7"/>
      <c r="E9" s="7">
        <v>7.76</v>
      </c>
      <c r="F9" s="8">
        <v>41</v>
      </c>
      <c r="G9" s="7"/>
      <c r="H9" s="7"/>
      <c r="I9" s="10">
        <f t="shared" si="1"/>
        <v>97.52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>
      <c r="A10" s="6"/>
      <c r="B10" s="15" t="s">
        <v>19</v>
      </c>
      <c r="C10" s="7">
        <v>90</v>
      </c>
      <c r="D10" s="7"/>
      <c r="E10" s="7">
        <v>40.119999999999997</v>
      </c>
      <c r="F10" s="8"/>
      <c r="G10" s="7"/>
      <c r="H10" s="7"/>
      <c r="I10" s="10">
        <f t="shared" si="1"/>
        <v>80.239999999999995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>
      <c r="A11" s="6"/>
      <c r="B11" s="15" t="s">
        <v>20</v>
      </c>
      <c r="C11" s="7">
        <v>20</v>
      </c>
      <c r="D11" s="7"/>
      <c r="E11" s="7">
        <v>4.8</v>
      </c>
      <c r="F11" s="8"/>
      <c r="G11" s="7"/>
      <c r="H11" s="7"/>
      <c r="I11" s="10">
        <f t="shared" si="1"/>
        <v>9.6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>
      <c r="A12" s="6"/>
      <c r="B12" s="15" t="s">
        <v>21</v>
      </c>
      <c r="C12" s="7">
        <v>72</v>
      </c>
      <c r="D12" s="7"/>
      <c r="E12" s="7">
        <v>36.86</v>
      </c>
      <c r="F12" s="8"/>
      <c r="G12" s="7"/>
      <c r="H12" s="7"/>
      <c r="I12" s="10">
        <f t="shared" si="0"/>
        <v>73.72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>
      <c r="A13" s="6"/>
      <c r="B13" s="15" t="s">
        <v>22</v>
      </c>
      <c r="C13" s="7"/>
      <c r="D13" s="7"/>
      <c r="E13" s="7">
        <v>11.76</v>
      </c>
      <c r="F13" s="8"/>
      <c r="G13" s="7"/>
      <c r="H13" s="7"/>
      <c r="I13" s="10">
        <f t="shared" ref="I13:I28" si="2">(D13+E13+G13)*($J$2+$K$2)+(H13*$K$2)+(F13*$J$2)</f>
        <v>23.52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>
      <c r="A14" s="6"/>
      <c r="B14" s="15"/>
      <c r="C14" s="7"/>
      <c r="D14" s="7"/>
      <c r="E14" s="7"/>
      <c r="F14" s="8"/>
      <c r="G14" s="7"/>
      <c r="H14" s="7"/>
      <c r="I14" s="10">
        <f t="shared" si="2"/>
        <v>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>
      <c r="A15" s="6"/>
      <c r="B15" s="15"/>
      <c r="C15" s="7"/>
      <c r="D15" s="7"/>
      <c r="E15" s="7"/>
      <c r="F15" s="8"/>
      <c r="G15" s="7"/>
      <c r="H15" s="7"/>
      <c r="I15" s="10">
        <f t="shared" si="2"/>
        <v>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>
      <c r="A16" s="6"/>
      <c r="B16" s="15"/>
      <c r="C16" s="7"/>
      <c r="D16" s="7"/>
      <c r="E16" s="7"/>
      <c r="F16" s="8"/>
      <c r="G16" s="7"/>
      <c r="H16" s="7"/>
      <c r="I16" s="10">
        <f t="shared" si="2"/>
        <v>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>
      <c r="A17" s="6"/>
      <c r="B17" s="15"/>
      <c r="C17" s="7"/>
      <c r="D17" s="7"/>
      <c r="E17" s="7"/>
      <c r="F17" s="8"/>
      <c r="G17" s="7"/>
      <c r="H17" s="7"/>
      <c r="I17" s="10">
        <f t="shared" si="2"/>
        <v>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>
      <c r="A18" s="6"/>
      <c r="B18" s="16"/>
      <c r="C18" s="7"/>
      <c r="D18" s="7"/>
      <c r="E18" s="7"/>
      <c r="F18" s="8"/>
      <c r="G18" s="7"/>
      <c r="H18" s="7"/>
      <c r="I18" s="10">
        <f t="shared" si="2"/>
        <v>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>
      <c r="A19" s="6"/>
      <c r="B19" s="17"/>
      <c r="C19" s="7"/>
      <c r="D19" s="7"/>
      <c r="E19" s="7"/>
      <c r="F19" s="8"/>
      <c r="G19" s="7"/>
      <c r="H19" s="7"/>
      <c r="I19" s="10">
        <f t="shared" si="2"/>
        <v>0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>
      <c r="A20" s="6"/>
      <c r="B20" s="15"/>
      <c r="C20" s="7"/>
      <c r="D20" s="7"/>
      <c r="E20" s="7"/>
      <c r="F20" s="8"/>
      <c r="G20" s="7"/>
      <c r="H20" s="7"/>
      <c r="I20" s="10">
        <f t="shared" si="2"/>
        <v>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>
      <c r="A21" s="6"/>
      <c r="C21" s="7"/>
      <c r="D21" s="7"/>
      <c r="E21" s="7"/>
      <c r="F21" s="8"/>
      <c r="G21" s="7"/>
      <c r="H21" s="7"/>
      <c r="I21" s="10">
        <f t="shared" si="2"/>
        <v>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>
      <c r="A22" s="6"/>
      <c r="C22" s="7"/>
      <c r="D22" s="7"/>
      <c r="E22" s="7"/>
      <c r="F22" s="8"/>
      <c r="G22" s="7"/>
      <c r="H22" s="7"/>
      <c r="I22" s="10">
        <f t="shared" si="2"/>
        <v>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>
      <c r="A23" s="6"/>
      <c r="C23" s="7"/>
      <c r="D23" s="7"/>
      <c r="E23" s="7"/>
      <c r="F23" s="8"/>
      <c r="G23" s="7"/>
      <c r="H23" s="7"/>
      <c r="I23" s="10">
        <f t="shared" si="2"/>
        <v>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>
      <c r="A24" s="6"/>
      <c r="B24" s="9"/>
      <c r="C24" s="7"/>
      <c r="D24" s="7"/>
      <c r="E24" s="7"/>
      <c r="F24" s="8"/>
      <c r="G24" s="7"/>
      <c r="H24" s="7"/>
      <c r="I24" s="10">
        <f t="shared" si="2"/>
        <v>0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>
      <c r="A25" s="6"/>
      <c r="B25" s="9"/>
      <c r="C25" s="7"/>
      <c r="D25" s="7"/>
      <c r="E25" s="7"/>
      <c r="F25" s="8"/>
      <c r="G25" s="7"/>
      <c r="H25" s="7"/>
      <c r="I25" s="10">
        <f t="shared" si="2"/>
        <v>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>
      <c r="A26" s="6"/>
      <c r="B26" s="9"/>
      <c r="C26" s="7"/>
      <c r="D26" s="7"/>
      <c r="E26" s="7"/>
      <c r="F26" s="8"/>
      <c r="G26" s="7"/>
      <c r="H26" s="7"/>
      <c r="I26" s="10">
        <f t="shared" si="2"/>
        <v>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>
      <c r="A27" s="6"/>
      <c r="B27" s="9"/>
      <c r="C27" s="7"/>
      <c r="D27" s="7"/>
      <c r="E27" s="7"/>
      <c r="F27" s="8"/>
      <c r="G27" s="7"/>
      <c r="H27" s="7"/>
      <c r="I27" s="10">
        <f t="shared" si="2"/>
        <v>0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>
      <c r="A28" s="6"/>
      <c r="B28" s="9"/>
      <c r="C28" s="7"/>
      <c r="D28" s="7"/>
      <c r="E28" s="7"/>
      <c r="F28" s="8"/>
      <c r="G28" s="7"/>
      <c r="H28" s="7"/>
      <c r="I28" s="10">
        <f t="shared" si="2"/>
        <v>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>
      <c r="A29" s="5"/>
      <c r="B29" s="5"/>
      <c r="C29" s="7"/>
      <c r="D29" s="10">
        <f>SUM(D3:D28)</f>
        <v>70</v>
      </c>
      <c r="E29" s="10">
        <f>SUM(E3:E28)</f>
        <v>142.25</v>
      </c>
      <c r="F29" s="10">
        <f>SUM(F2:F14)</f>
        <v>41</v>
      </c>
      <c r="G29" s="10">
        <f>SUM(G3:G28)</f>
        <v>0</v>
      </c>
      <c r="H29" s="10">
        <f>SUM(H3:H28)</f>
        <v>0</v>
      </c>
      <c r="I29" s="5"/>
      <c r="J29" s="14" t="s">
        <v>23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>
      <c r="A30" s="5"/>
      <c r="B30" s="5"/>
      <c r="C30" s="11">
        <f>SUM(C3:C29)</f>
        <v>580</v>
      </c>
      <c r="D30" s="12">
        <f t="shared" ref="D30:E30" si="3">D29*($J$2+$K$2)</f>
        <v>140</v>
      </c>
      <c r="E30" s="12">
        <f t="shared" si="3"/>
        <v>284.5</v>
      </c>
      <c r="F30" s="12">
        <f>F29*$J$2</f>
        <v>82</v>
      </c>
      <c r="G30" s="12">
        <f>G29*($J$2+$K$2)</f>
        <v>0</v>
      </c>
      <c r="H30" s="10">
        <f>H29*$K$2</f>
        <v>0</v>
      </c>
      <c r="I30" s="11">
        <f>SUM(I3:I28)</f>
        <v>506.5</v>
      </c>
      <c r="J30" s="14">
        <f>C30-I30</f>
        <v>73.5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5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5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15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</sheetData>
  <mergeCells count="1">
    <mergeCell ref="C2:H2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APL016L User</dc:creator>
  <cp:keywords/>
  <dc:description/>
  <cp:lastModifiedBy>Akash Kumar</cp:lastModifiedBy>
  <cp:revision/>
  <dcterms:created xsi:type="dcterms:W3CDTF">2023-08-02T07:15:00Z</dcterms:created>
  <dcterms:modified xsi:type="dcterms:W3CDTF">2026-05-11T09:54:50Z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C3565A0A9902402FA5C629EAE5F9A985_13</vt:lpwstr>
  </property>
  <property fmtid="{D5CDD505-2E9C-101B-9397-08002B2CF9AE}" pid="3" name="KSOProductBuildVer">
    <vt:lpwstr>1033-12.2.0.21179</vt:lpwstr>
  </property>
</Properties>
</file>